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ive Analysis" sheetId="1" state="visible" r:id="rId3"/>
    <sheet name="Feature Backlog (RICE)" sheetId="2" state="visible" r:id="rId4"/>
  </sheets>
  <definedNames>
    <definedName function="false" hidden="true" localSheetId="1" name="_xlnm._FilterDatabase" vbProcedure="false">'Feature Backlog (RICE)'!$A$4:$I$21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<sst xmlns="http://schemas.openxmlformats.org/spreadsheetml/2006/main" count="148" uniqueCount="130">
  <si>
    <t xml:space="preserve">AI Career Copilot — Competitive Analysis</t>
  </si>
  <si>
    <t xml:space="preserve">How existing alternatives serve (or fail) students figuring out what to learn next</t>
  </si>
  <si>
    <t xml:space="preserve">Product</t>
  </si>
  <si>
    <t xml:space="preserve">Target User</t>
  </si>
  <si>
    <t xml:space="preserve">Skill Assessment</t>
  </si>
  <si>
    <t xml:space="preserve">Personalization</t>
  </si>
  <si>
    <t xml:space="preserve">Roadmap</t>
  </si>
  <si>
    <t xml:space="preserve">Progress Tracking</t>
  </si>
  <si>
    <t xml:space="preserve">AI-Powered</t>
  </si>
  <si>
    <t xml:space="preserve">Pricing</t>
  </si>
  <si>
    <t xml:space="preserve">Strength</t>
  </si>
  <si>
    <t xml:space="preserve">Weakness</t>
  </si>
  <si>
    <t xml:space="preserve">LinkedIn Learning</t>
  </si>
  <si>
    <t xml:space="preserve">Job seekers, professionals</t>
  </si>
  <si>
    <t xml:space="preserve">None (self-reported skills only)</t>
  </si>
  <si>
    <t xml:space="preserve">Low — generic course suggestions</t>
  </si>
  <si>
    <t xml:space="preserve">None — courses, not sequenced plans</t>
  </si>
  <si>
    <t xml:space="preserve">Course completion only</t>
  </si>
  <si>
    <t xml:space="preserve">Minimal (basic recommendations)</t>
  </si>
  <si>
    <t xml:space="preserve">Subscription (~$29.99/mo)</t>
  </si>
  <si>
    <t xml:space="preserve">Huge content library, credible for recruiters</t>
  </si>
  <si>
    <t xml:space="preserve">No real gap analysis; doesn't know the user's actual target-role requirements</t>
  </si>
  <si>
    <t xml:space="preserve">Coursera</t>
  </si>
  <si>
    <t xml:space="preserve">General learners</t>
  </si>
  <si>
    <t xml:space="preserve">Some — course-level quizzes</t>
  </si>
  <si>
    <t xml:space="preserve">Low — same catalog for everyone</t>
  </si>
  <si>
    <t xml:space="preserve">Specialization tracks, but generic</t>
  </si>
  <si>
    <t xml:space="preserve">Course-by-course progress</t>
  </si>
  <si>
    <t xml:space="preserve">Minimal</t>
  </si>
  <si>
    <t xml:space="preserve">Subscription / per-course</t>
  </si>
  <si>
    <t xml:space="preserve">High-quality structured courses from real institutions</t>
  </si>
  <si>
    <t xml:space="preserve">Not personalized to an individual resume or specific target role</t>
  </si>
  <si>
    <t xml:space="preserve">ChatGPT</t>
  </si>
  <si>
    <t xml:space="preserve">Anyone</t>
  </si>
  <si>
    <t xml:space="preserve">Only if the user manually describes their skills</t>
  </si>
  <si>
    <t xml:space="preserve">Medium — but only as good as the prompt</t>
  </si>
  <si>
    <t xml:space="preserve">Can generate a plan on request</t>
  </si>
  <si>
    <t xml:space="preserve">None (no persistent tracking)</t>
  </si>
  <si>
    <t xml:space="preserve">High (general LLM)</t>
  </si>
  <si>
    <t xml:space="preserve">Free / subscription</t>
  </si>
  <si>
    <t xml:space="preserve">Extremely flexible, can generate a plan for anything</t>
  </si>
  <si>
    <t xml:space="preserve">Requires the user to already know what to ask; no memory, no structured tracking, no accountability</t>
  </si>
  <si>
    <t xml:space="preserve">Roadmap.sh / Roadmap Sites</t>
  </si>
  <si>
    <t xml:space="preserve">Aspiring developers</t>
  </si>
  <si>
    <t xml:space="preserve">None</t>
  </si>
  <si>
    <t xml:space="preserve">None — same static roadmap for everyone</t>
  </si>
  <si>
    <t xml:space="preserve">Strong generic sequencing per role</t>
  </si>
  <si>
    <t xml:space="preserve">Manual checklist at best</t>
  </si>
  <si>
    <t xml:space="preserve">Free</t>
  </si>
  <si>
    <t xml:space="preserve">Well-sequenced, community-vetted skill order</t>
  </si>
  <si>
    <t xml:space="preserve">Zero personalization — doesn't know what the user already has</t>
  </si>
  <si>
    <t xml:space="preserve">Career Coaching</t>
  </si>
  <si>
    <t xml:space="preserve">Job seekers who can pay</t>
  </si>
  <si>
    <t xml:space="preserve">Strong — human judgment</t>
  </si>
  <si>
    <t xml:space="preserve">High — 1:1 personalized</t>
  </si>
  <si>
    <t xml:space="preserve">Personalized, but manually created</t>
  </si>
  <si>
    <t xml:space="preserve">Manual check-ins</t>
  </si>
  <si>
    <t xml:space="preserve">High ($50-300+/session)</t>
  </si>
  <si>
    <t xml:space="preserve">Deep personalization and accountability from a real human</t>
  </si>
  <si>
    <t xml:space="preserve">Expensive, not scalable, inconsistent quality across coaches</t>
  </si>
  <si>
    <t xml:space="preserve">Resume Tools (e.g., resume scanners)</t>
  </si>
  <si>
    <t xml:space="preserve">Job seekers</t>
  </si>
  <si>
    <t xml:space="preserve">Keyword-matching only</t>
  </si>
  <si>
    <t xml:space="preserve">Low — matches resume to a job description, not a growth plan</t>
  </si>
  <si>
    <t xml:space="preserve">Low (keyword matching)</t>
  </si>
  <si>
    <t xml:space="preserve">Freemium</t>
  </si>
  <si>
    <t xml:space="preserve">Quick, useful for ATS-proofing a resume</t>
  </si>
  <si>
    <t xml:space="preserve">Tells you what's missing, not how to close the gap</t>
  </si>
  <si>
    <t xml:space="preserve">AI Career Copilot (this product)</t>
  </si>
  <si>
    <t xml:space="preserve">Students &amp; fresh grads targeting a specific role</t>
  </si>
  <si>
    <t xml:space="preserve">Strong — AI-parsed from actual resume</t>
  </si>
  <si>
    <t xml:space="preserve">High — gap analysis tied to the individual + target role</t>
  </si>
  <si>
    <t xml:space="preserve">Personalized 12-week roadmap generated from the gap analysis</t>
  </si>
  <si>
    <t xml:space="preserve">Built-in weekly task tracking</t>
  </si>
  <si>
    <t xml:space="preserve">Core to the product (parsing, classification, generation, assistant)</t>
  </si>
  <si>
    <t xml:space="preserve">Combines personalization of a coach with scalability of software</t>
  </si>
  <si>
    <t xml:space="preserve">New entrant — no brand trust yet, taxonomy needs to stay current with real job requirements</t>
  </si>
  <si>
    <t xml:space="preserve">Market Gap</t>
  </si>
  <si>
    <t xml:space="preserve">Every existing alternative gives learners more information (courses, generic roadmaps, keyword scans) or, at the high end, a real human (career coaches) — but nothing combines an AI-parsed personal skill-gap analysis with an automatically generated, personalized action plan at low cost and at scale. The gap is not content — it's prioritization: turning 'here is everything you could learn' into 'here is what YOU should do this week.'</t>
  </si>
  <si>
    <t xml:space="preserve">AI Career Copilot — Feature Backlog</t>
  </si>
  <si>
    <t xml:space="preserve">Prioritized using RICE (Reach x Impact x Confidence / Effort). Reach = % of monthly active users affected. Impact: 3=Massive,2=High,1=Medium,0.5=Low,0.25=Minimal. Confidence: 1.0=High,0.8=Medium,0.5=Low. Effort = person-weeks.</t>
  </si>
  <si>
    <t xml:space="preserve">#</t>
  </si>
  <si>
    <t xml:space="preserve">Feature</t>
  </si>
  <si>
    <t xml:space="preserve">Description</t>
  </si>
  <si>
    <t xml:space="preserve">Reach (0-1)</t>
  </si>
  <si>
    <t xml:space="preserve">Impact (0.25-3)</t>
  </si>
  <si>
    <t xml:space="preserve">Confidence (0-1)</t>
  </si>
  <si>
    <t xml:space="preserve">Effort (person-wks)</t>
  </si>
  <si>
    <t xml:space="preserve">RICE Score</t>
  </si>
  <si>
    <t xml:space="preserve">MoSCoW</t>
  </si>
  <si>
    <t xml:space="preserve">Resume upload + AI parsing</t>
  </si>
  <si>
    <t xml:space="preserve">Upload resume (PDF/DOCX/text); AI extracts skills, experience, education, projects</t>
  </si>
  <si>
    <t xml:space="preserve">Must</t>
  </si>
  <si>
    <t xml:space="preserve">Target role selection</t>
  </si>
  <si>
    <t xml:space="preserve">User selects target role from supported taxonomy (PM first)</t>
  </si>
  <si>
    <t xml:space="preserve">Skill-gap analysis engine</t>
  </si>
  <si>
    <t xml:space="preserve">Compare extracted skills vs. target-role taxonomy; classify Have/Partial/Missing</t>
  </si>
  <si>
    <t xml:space="preserve">Skill-gap dashboard (visual)</t>
  </si>
  <si>
    <t xml:space="preserve">Visual breakdown of gap analysis instead of a raw list</t>
  </si>
  <si>
    <t xml:space="preserve">12-week roadmap generator</t>
  </si>
  <si>
    <t xml:space="preserve">Generate a sequenced, personalized roadmap from the gap analysis</t>
  </si>
  <si>
    <t xml:space="preserve">Weekly task view</t>
  </si>
  <si>
    <t xml:space="preserve">Break roadmap into weekly task sets</t>
  </si>
  <si>
    <t xml:space="preserve">Task completion tracking</t>
  </si>
  <si>
    <t xml:space="preserve">Mark tasks complete; track streaks and weekly completion rate</t>
  </si>
  <si>
    <t xml:space="preserve">Should</t>
  </si>
  <si>
    <t xml:space="preserve">Progress dashboard</t>
  </si>
  <si>
    <t xml:space="preserve">Overall roadmap completion %, streaks, visual progress</t>
  </si>
  <si>
    <t xml:space="preserve">AI career assistant (Q&amp;A)</t>
  </si>
  <si>
    <t xml:space="preserve">Conversational assistant grounded in the user's own roadmap ('what should I learn this week?')</t>
  </si>
  <si>
    <t xml:space="preserve">Manual edit of parsed resume data</t>
  </si>
  <si>
    <t xml:space="preserve">Let user correct AI-extracted fields before analysis runs</t>
  </si>
  <si>
    <t xml:space="preserve">Roadmap regeneration on role change</t>
  </si>
  <si>
    <t xml:space="preserve">Regenerate roadmap if user switches target role</t>
  </si>
  <si>
    <t xml:space="preserve">Could</t>
  </si>
  <si>
    <t xml:space="preserve">Notifications / reminders</t>
  </si>
  <si>
    <t xml:space="preserve">Push/email reminders to complete weekly tasks</t>
  </si>
  <si>
    <t xml:space="preserve">Multi target-role tracking</t>
  </si>
  <si>
    <t xml:space="preserve">Track skill gaps for more than one target role simultaneously</t>
  </si>
  <si>
    <t xml:space="preserve">Freemium paywall</t>
  </si>
  <si>
    <t xml:space="preserve">Free: 1 analysis + 2-week roadmap preview. Paid: full roadmap + tracking + assistant</t>
  </si>
  <si>
    <t xml:space="preserve">Mentorship marketplace</t>
  </si>
  <si>
    <t xml:space="preserve">Connect users with human mentors for 1:1 guidance</t>
  </si>
  <si>
    <t xml:space="preserve">Won't (v1)</t>
  </si>
  <si>
    <t xml:space="preserve">Community / peer forums</t>
  </si>
  <si>
    <t xml:space="preserve">Peer discussion and accountability groups</t>
  </si>
  <si>
    <t xml:space="preserve">Job matching / application tracking</t>
  </si>
  <si>
    <t xml:space="preserve">Match users to open roles and track applications</t>
  </si>
  <si>
    <t xml:space="preserve">Why RICE (not MoSCoW alone)</t>
  </si>
  <si>
    <t xml:space="preserve">RICE was used as the primary ranking method because the backlog mixes very different effort sizes (1 person-week vs. 8) and very different confidence levels (a well-understood dashboard vs. an AI assistant with unclear scope) — RICE forces those tradeoffs into one comparable number instead of three flat priority buckets. MoSCoW is layered on top as a communication tool: it's what you'd actually say in a sprint-planning conversation ('this is a Must for MVP'), while the RICE score is what decided the ordering within each MoSCoW bucket.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</si>
</sst>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74B5"/>
        <bgColor rgb="FF0066CC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2E74B5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E2E9C0"/>
          <bgColor rgb="FF000000"/>
        </patternFill>
      </fill>
    </dxf>
    <dxf>
      <fill>
        <patternFill patternType="solid">
          <fgColor rgb="FFE7EBC2"/>
          <bgColor rgb="FF000000"/>
        </patternFill>
      </fill>
    </dxf>
    <dxf>
      <fill>
        <patternFill patternType="solid">
          <fgColor rgb="FFEFEDC6"/>
          <bgColor rgb="FF000000"/>
        </patternFill>
      </fill>
    </dxf>
    <dxf>
      <fill>
        <patternFill patternType="solid">
          <fgColor rgb="FFFBF1CB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CE6E0"/>
          <bgColor rgb="FF000000"/>
        </patternFill>
      </fill>
    </dxf>
    <dxf>
      <fill>
        <patternFill patternType="solid">
          <fgColor rgb="FFFCE8DD"/>
          <bgColor rgb="FF000000"/>
        </patternFill>
      </fill>
    </dxf>
    <dxf>
      <fill>
        <patternFill patternType="solid">
          <fgColor rgb="FFFDE9DB"/>
          <bgColor rgb="FF000000"/>
        </patternFill>
      </fill>
    </dxf>
    <dxf>
      <fill>
        <patternFill patternType="solid">
          <fgColor rgb="FFFEF0C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E699"/>
      <rgbColor rgb="FF99CCFF"/>
      <rgbColor rgb="FFFF99CC"/>
      <rgbColor rgb="FFCC99FF"/>
      <rgbColor rgb="FFF8CBAD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3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0" hidden="false" customHeight="true" outlineLevel="0" collapsed="false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</row>
    <row r="6" customFormat="false" ht="60" hidden="false" customHeight="true" outlineLevel="0" collapsed="false">
      <c r="A6" s="6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30</v>
      </c>
      <c r="J6" s="7" t="s">
        <v>31</v>
      </c>
    </row>
    <row r="7" customFormat="false" ht="60" hidden="false" customHeight="true" outlineLevel="0" collapsed="false">
      <c r="A7" s="4" t="s">
        <v>32</v>
      </c>
      <c r="B7" s="5" t="s">
        <v>33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5" t="s">
        <v>40</v>
      </c>
      <c r="J7" s="5" t="s">
        <v>41</v>
      </c>
    </row>
    <row r="8" customFormat="false" ht="60" hidden="false" customHeight="true" outlineLevel="0" collapsed="false">
      <c r="A8" s="6" t="s">
        <v>42</v>
      </c>
      <c r="B8" s="7" t="s">
        <v>43</v>
      </c>
      <c r="C8" s="7" t="s">
        <v>44</v>
      </c>
      <c r="D8" s="7" t="s">
        <v>45</v>
      </c>
      <c r="E8" s="7" t="s">
        <v>46</v>
      </c>
      <c r="F8" s="7" t="s">
        <v>47</v>
      </c>
      <c r="G8" s="7" t="s">
        <v>44</v>
      </c>
      <c r="H8" s="7" t="s">
        <v>48</v>
      </c>
      <c r="I8" s="7" t="s">
        <v>49</v>
      </c>
      <c r="J8" s="7" t="s">
        <v>50</v>
      </c>
    </row>
    <row r="9" customFormat="false" ht="60" hidden="false" customHeight="true" outlineLevel="0" collapsed="false">
      <c r="A9" s="4" t="s">
        <v>51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44</v>
      </c>
      <c r="H9" s="5" t="s">
        <v>57</v>
      </c>
      <c r="I9" s="5" t="s">
        <v>58</v>
      </c>
      <c r="J9" s="5" t="s">
        <v>59</v>
      </c>
    </row>
    <row r="10" customFormat="false" ht="60" hidden="false" customHeight="true" outlineLevel="0" collapsed="false">
      <c r="A10" s="6" t="s">
        <v>60</v>
      </c>
      <c r="B10" s="7" t="s">
        <v>61</v>
      </c>
      <c r="C10" s="7" t="s">
        <v>62</v>
      </c>
      <c r="D10" s="7" t="s">
        <v>63</v>
      </c>
      <c r="E10" s="7" t="s">
        <v>44</v>
      </c>
      <c r="F10" s="7" t="s">
        <v>44</v>
      </c>
      <c r="G10" s="7" t="s">
        <v>64</v>
      </c>
      <c r="H10" s="7" t="s">
        <v>65</v>
      </c>
      <c r="I10" s="7" t="s">
        <v>66</v>
      </c>
      <c r="J10" s="7" t="s">
        <v>67</v>
      </c>
    </row>
    <row r="11" customFormat="false" ht="60" hidden="false" customHeight="true" outlineLevel="0" collapsed="false">
      <c r="A11" s="8" t="s">
        <v>68</v>
      </c>
      <c r="B11" s="9" t="s">
        <v>69</v>
      </c>
      <c r="C11" s="9" t="s">
        <v>70</v>
      </c>
      <c r="D11" s="9" t="s">
        <v>71</v>
      </c>
      <c r="E11" s="9" t="s">
        <v>72</v>
      </c>
      <c r="F11" s="9" t="s">
        <v>73</v>
      </c>
      <c r="G11" s="9" t="s">
        <v>74</v>
      </c>
      <c r="H11" s="9" t="s">
        <v>65</v>
      </c>
      <c r="I11" s="9" t="s">
        <v>75</v>
      </c>
      <c r="J11" s="9" t="s">
        <v>76</v>
      </c>
    </row>
    <row r="14" customFormat="false" ht="16.15" hidden="false" customHeight="false" outlineLevel="0" collapsed="false">
      <c r="A14" s="10" t="s">
        <v>77</v>
      </c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60" hidden="false" customHeight="true" outlineLevel="0" collapsed="false">
      <c r="A15" s="11" t="s">
        <v>78</v>
      </c>
      <c r="B15" s="11"/>
      <c r="C15" s="11"/>
      <c r="D15" s="11"/>
      <c r="E15" s="11"/>
      <c r="F15" s="11"/>
      <c r="G15" s="11"/>
      <c r="H15" s="11"/>
      <c r="I15" s="11"/>
      <c r="J15" s="11"/>
    </row>
  </sheetData>
  <mergeCells count="4">
    <mergeCell ref="A1:J1"/>
    <mergeCell ref="A2:J2"/>
    <mergeCell ref="A14:J14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79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80</v>
      </c>
      <c r="B2" s="2"/>
      <c r="C2" s="2"/>
      <c r="D2" s="2"/>
      <c r="E2" s="2"/>
      <c r="F2" s="2"/>
      <c r="G2" s="2"/>
      <c r="H2" s="2"/>
      <c r="I2" s="2"/>
    </row>
    <row r="4" customFormat="false" ht="39.55" hidden="false" customHeight="false" outlineLevel="0" collapsed="false">
      <c r="A4" s="3" t="s">
        <v>81</v>
      </c>
      <c r="B4" s="3" t="s">
        <v>82</v>
      </c>
      <c r="C4" s="3" t="s">
        <v>83</v>
      </c>
      <c r="D4" s="3" t="s">
        <v>84</v>
      </c>
      <c r="E4" s="3" t="s">
        <v>85</v>
      </c>
      <c r="F4" s="3" t="s">
        <v>86</v>
      </c>
      <c r="G4" s="3" t="s">
        <v>87</v>
      </c>
      <c r="H4" s="3" t="s">
        <v>88</v>
      </c>
      <c r="I4" s="3" t="s">
        <v>89</v>
      </c>
    </row>
    <row r="5" customFormat="false" ht="42" hidden="false" customHeight="true" outlineLevel="0" collapsed="false">
      <c r="A5" s="12" t="n">
        <v>1</v>
      </c>
      <c r="B5" s="4" t="s">
        <v>90</v>
      </c>
      <c r="C5" s="5" t="s">
        <v>91</v>
      </c>
      <c r="D5" s="13" t="n">
        <v>1</v>
      </c>
      <c r="E5" s="13" t="n">
        <v>3</v>
      </c>
      <c r="F5" s="13" t="n">
        <v>1</v>
      </c>
      <c r="G5" s="13" t="n">
        <v>3</v>
      </c>
      <c r="H5" s="14" t="n">
        <f aca="false">D5*E5*F5/G5</f>
        <v>1</v>
      </c>
      <c r="I5" s="15" t="s">
        <v>92</v>
      </c>
    </row>
    <row r="6" customFormat="false" ht="42" hidden="false" customHeight="true" outlineLevel="0" collapsed="false">
      <c r="A6" s="16" t="n">
        <v>2</v>
      </c>
      <c r="B6" s="6" t="s">
        <v>93</v>
      </c>
      <c r="C6" s="7" t="s">
        <v>94</v>
      </c>
      <c r="D6" s="17" t="n">
        <v>1</v>
      </c>
      <c r="E6" s="17" t="n">
        <v>2</v>
      </c>
      <c r="F6" s="17" t="n">
        <v>1</v>
      </c>
      <c r="G6" s="17" t="n">
        <v>1</v>
      </c>
      <c r="H6" s="18" t="n">
        <f aca="false">D6*E6*F6/G6</f>
        <v>2</v>
      </c>
      <c r="I6" s="15" t="s">
        <v>92</v>
      </c>
    </row>
    <row r="7" customFormat="false" ht="42" hidden="false" customHeight="true" outlineLevel="0" collapsed="false">
      <c r="A7" s="12" t="n">
        <v>3</v>
      </c>
      <c r="B7" s="4" t="s">
        <v>95</v>
      </c>
      <c r="C7" s="5" t="s">
        <v>96</v>
      </c>
      <c r="D7" s="13" t="n">
        <v>1</v>
      </c>
      <c r="E7" s="13" t="n">
        <v>3</v>
      </c>
      <c r="F7" s="13" t="n">
        <v>0.8</v>
      </c>
      <c r="G7" s="13" t="n">
        <v>4</v>
      </c>
      <c r="H7" s="14" t="n">
        <f aca="false">D7*E7*F7/G7</f>
        <v>0.6</v>
      </c>
      <c r="I7" s="15" t="s">
        <v>92</v>
      </c>
    </row>
    <row r="8" customFormat="false" ht="42" hidden="false" customHeight="true" outlineLevel="0" collapsed="false">
      <c r="A8" s="16" t="n">
        <v>4</v>
      </c>
      <c r="B8" s="6" t="s">
        <v>97</v>
      </c>
      <c r="C8" s="7" t="s">
        <v>98</v>
      </c>
      <c r="D8" s="17" t="n">
        <v>1</v>
      </c>
      <c r="E8" s="17" t="n">
        <v>2</v>
      </c>
      <c r="F8" s="17" t="n">
        <v>1</v>
      </c>
      <c r="G8" s="17" t="n">
        <v>2</v>
      </c>
      <c r="H8" s="18" t="n">
        <f aca="false">D8*E8*F8/G8</f>
        <v>1</v>
      </c>
      <c r="I8" s="15" t="s">
        <v>92</v>
      </c>
    </row>
    <row r="9" customFormat="false" ht="42" hidden="false" customHeight="true" outlineLevel="0" collapsed="false">
      <c r="A9" s="12" t="n">
        <v>5</v>
      </c>
      <c r="B9" s="4" t="s">
        <v>99</v>
      </c>
      <c r="C9" s="5" t="s">
        <v>100</v>
      </c>
      <c r="D9" s="13" t="n">
        <v>1</v>
      </c>
      <c r="E9" s="13" t="n">
        <v>3</v>
      </c>
      <c r="F9" s="13" t="n">
        <v>0.8</v>
      </c>
      <c r="G9" s="13" t="n">
        <v>4</v>
      </c>
      <c r="H9" s="14" t="n">
        <f aca="false">D9*E9*F9/G9</f>
        <v>0.6</v>
      </c>
      <c r="I9" s="15" t="s">
        <v>92</v>
      </c>
    </row>
    <row r="10" customFormat="false" ht="42" hidden="false" customHeight="true" outlineLevel="0" collapsed="false">
      <c r="A10" s="16" t="n">
        <v>6</v>
      </c>
      <c r="B10" s="6" t="s">
        <v>101</v>
      </c>
      <c r="C10" s="7" t="s">
        <v>102</v>
      </c>
      <c r="D10" s="17" t="n">
        <v>1</v>
      </c>
      <c r="E10" s="17" t="n">
        <v>2</v>
      </c>
      <c r="F10" s="17" t="n">
        <v>1</v>
      </c>
      <c r="G10" s="17" t="n">
        <v>1.5</v>
      </c>
      <c r="H10" s="18" t="n">
        <f aca="false">D10*E10*F10/G10</f>
        <v>1.33333333333333</v>
      </c>
      <c r="I10" s="15" t="s">
        <v>92</v>
      </c>
    </row>
    <row r="11" customFormat="false" ht="42" hidden="false" customHeight="true" outlineLevel="0" collapsed="false">
      <c r="A11" s="12" t="n">
        <v>7</v>
      </c>
      <c r="B11" s="4" t="s">
        <v>103</v>
      </c>
      <c r="C11" s="5" t="s">
        <v>104</v>
      </c>
      <c r="D11" s="13" t="n">
        <v>0.9</v>
      </c>
      <c r="E11" s="13" t="n">
        <v>2</v>
      </c>
      <c r="F11" s="13" t="n">
        <v>1</v>
      </c>
      <c r="G11" s="13" t="n">
        <v>1.5</v>
      </c>
      <c r="H11" s="14" t="n">
        <f aca="false">D11*E11*F11/G11</f>
        <v>1.2</v>
      </c>
      <c r="I11" s="19" t="s">
        <v>105</v>
      </c>
    </row>
    <row r="12" customFormat="false" ht="42" hidden="false" customHeight="true" outlineLevel="0" collapsed="false">
      <c r="A12" s="16" t="n">
        <v>8</v>
      </c>
      <c r="B12" s="6" t="s">
        <v>106</v>
      </c>
      <c r="C12" s="7" t="s">
        <v>107</v>
      </c>
      <c r="D12" s="17" t="n">
        <v>0.8</v>
      </c>
      <c r="E12" s="17" t="n">
        <v>1</v>
      </c>
      <c r="F12" s="17" t="n">
        <v>1</v>
      </c>
      <c r="G12" s="17" t="n">
        <v>1.5</v>
      </c>
      <c r="H12" s="18" t="n">
        <f aca="false">D12*E12*F12/G12</f>
        <v>0.533333333333333</v>
      </c>
      <c r="I12" s="19" t="s">
        <v>105</v>
      </c>
    </row>
    <row r="13" customFormat="false" ht="42" hidden="false" customHeight="true" outlineLevel="0" collapsed="false">
      <c r="A13" s="12" t="n">
        <v>9</v>
      </c>
      <c r="B13" s="4" t="s">
        <v>108</v>
      </c>
      <c r="C13" s="5" t="s">
        <v>109</v>
      </c>
      <c r="D13" s="13" t="n">
        <v>0.6</v>
      </c>
      <c r="E13" s="13" t="n">
        <v>2</v>
      </c>
      <c r="F13" s="13" t="n">
        <v>0.5</v>
      </c>
      <c r="G13" s="13" t="n">
        <v>3</v>
      </c>
      <c r="H13" s="14" t="n">
        <f aca="false">D13*E13*F13/G13</f>
        <v>0.2</v>
      </c>
      <c r="I13" s="19" t="s">
        <v>105</v>
      </c>
    </row>
    <row r="14" customFormat="false" ht="42" hidden="false" customHeight="true" outlineLevel="0" collapsed="false">
      <c r="A14" s="16" t="n">
        <v>10</v>
      </c>
      <c r="B14" s="6" t="s">
        <v>110</v>
      </c>
      <c r="C14" s="7" t="s">
        <v>111</v>
      </c>
      <c r="D14" s="17" t="n">
        <v>0.7</v>
      </c>
      <c r="E14" s="17" t="n">
        <v>1</v>
      </c>
      <c r="F14" s="17" t="n">
        <v>1</v>
      </c>
      <c r="G14" s="17" t="n">
        <v>1</v>
      </c>
      <c r="H14" s="18" t="n">
        <f aca="false">D14*E14*F14/G14</f>
        <v>0.7</v>
      </c>
      <c r="I14" s="19" t="s">
        <v>105</v>
      </c>
    </row>
    <row r="15" customFormat="false" ht="42" hidden="false" customHeight="true" outlineLevel="0" collapsed="false">
      <c r="A15" s="12" t="n">
        <v>11</v>
      </c>
      <c r="B15" s="4" t="s">
        <v>112</v>
      </c>
      <c r="C15" s="5" t="s">
        <v>113</v>
      </c>
      <c r="D15" s="13" t="n">
        <v>0.3</v>
      </c>
      <c r="E15" s="13" t="n">
        <v>1</v>
      </c>
      <c r="F15" s="13" t="n">
        <v>0.8</v>
      </c>
      <c r="G15" s="13" t="n">
        <v>1</v>
      </c>
      <c r="H15" s="14" t="n">
        <f aca="false">D15*E15*F15/G15</f>
        <v>0.24</v>
      </c>
      <c r="I15" s="20" t="s">
        <v>114</v>
      </c>
    </row>
    <row r="16" customFormat="false" ht="42" hidden="false" customHeight="true" outlineLevel="0" collapsed="false">
      <c r="A16" s="16" t="n">
        <v>12</v>
      </c>
      <c r="B16" s="6" t="s">
        <v>115</v>
      </c>
      <c r="C16" s="7" t="s">
        <v>116</v>
      </c>
      <c r="D16" s="17" t="n">
        <v>0.5</v>
      </c>
      <c r="E16" s="17" t="n">
        <v>1</v>
      </c>
      <c r="F16" s="17" t="n">
        <v>0.5</v>
      </c>
      <c r="G16" s="17" t="n">
        <v>2</v>
      </c>
      <c r="H16" s="18" t="n">
        <f aca="false">D16*E16*F16/G16</f>
        <v>0.125</v>
      </c>
      <c r="I16" s="20" t="s">
        <v>114</v>
      </c>
    </row>
    <row r="17" customFormat="false" ht="42" hidden="false" customHeight="true" outlineLevel="0" collapsed="false">
      <c r="A17" s="12" t="n">
        <v>13</v>
      </c>
      <c r="B17" s="4" t="s">
        <v>117</v>
      </c>
      <c r="C17" s="5" t="s">
        <v>118</v>
      </c>
      <c r="D17" s="13" t="n">
        <v>0.2</v>
      </c>
      <c r="E17" s="13" t="n">
        <v>0.5</v>
      </c>
      <c r="F17" s="13" t="n">
        <v>0.5</v>
      </c>
      <c r="G17" s="13" t="n">
        <v>2</v>
      </c>
      <c r="H17" s="14" t="n">
        <f aca="false">D17*E17*F17/G17</f>
        <v>0.025</v>
      </c>
      <c r="I17" s="20" t="s">
        <v>114</v>
      </c>
    </row>
    <row r="18" customFormat="false" ht="42" hidden="false" customHeight="true" outlineLevel="0" collapsed="false">
      <c r="A18" s="16" t="n">
        <v>14</v>
      </c>
      <c r="B18" s="6" t="s">
        <v>119</v>
      </c>
      <c r="C18" s="7" t="s">
        <v>120</v>
      </c>
      <c r="D18" s="17" t="n">
        <v>1</v>
      </c>
      <c r="E18" s="17" t="n">
        <v>2</v>
      </c>
      <c r="F18" s="17" t="n">
        <v>1</v>
      </c>
      <c r="G18" s="17" t="n">
        <v>1.5</v>
      </c>
      <c r="H18" s="18" t="n">
        <f aca="false">D18*E18*F18/G18</f>
        <v>1.33333333333333</v>
      </c>
      <c r="I18" s="15" t="s">
        <v>92</v>
      </c>
    </row>
    <row r="19" customFormat="false" ht="42" hidden="false" customHeight="true" outlineLevel="0" collapsed="false">
      <c r="A19" s="12" t="n">
        <v>15</v>
      </c>
      <c r="B19" s="4" t="s">
        <v>121</v>
      </c>
      <c r="C19" s="5" t="s">
        <v>122</v>
      </c>
      <c r="D19" s="13" t="n">
        <v>0.2</v>
      </c>
      <c r="E19" s="13" t="n">
        <v>1</v>
      </c>
      <c r="F19" s="13" t="n">
        <v>0.25</v>
      </c>
      <c r="G19" s="13" t="n">
        <v>8</v>
      </c>
      <c r="H19" s="14" t="n">
        <f aca="false">D19*E19*F19/G19</f>
        <v>0.00625</v>
      </c>
      <c r="I19" s="21" t="s">
        <v>123</v>
      </c>
    </row>
    <row r="20" customFormat="false" ht="42" hidden="false" customHeight="true" outlineLevel="0" collapsed="false">
      <c r="A20" s="16" t="n">
        <v>16</v>
      </c>
      <c r="B20" s="6" t="s">
        <v>124</v>
      </c>
      <c r="C20" s="7" t="s">
        <v>125</v>
      </c>
      <c r="D20" s="17" t="n">
        <v>0.3</v>
      </c>
      <c r="E20" s="17" t="n">
        <v>0.5</v>
      </c>
      <c r="F20" s="17" t="n">
        <v>0.25</v>
      </c>
      <c r="G20" s="17" t="n">
        <v>5</v>
      </c>
      <c r="H20" s="18" t="n">
        <f aca="false">D20*E20*F20/G20</f>
        <v>0.0075</v>
      </c>
      <c r="I20" s="21" t="s">
        <v>123</v>
      </c>
    </row>
    <row r="21" customFormat="false" ht="42" hidden="false" customHeight="true" outlineLevel="0" collapsed="false">
      <c r="A21" s="12" t="n">
        <v>17</v>
      </c>
      <c r="B21" s="4" t="s">
        <v>126</v>
      </c>
      <c r="C21" s="5" t="s">
        <v>127</v>
      </c>
      <c r="D21" s="13" t="n">
        <v>0.3</v>
      </c>
      <c r="E21" s="13" t="n">
        <v>1</v>
      </c>
      <c r="F21" s="13" t="n">
        <v>0.25</v>
      </c>
      <c r="G21" s="13" t="n">
        <v>6</v>
      </c>
      <c r="H21" s="14" t="n">
        <f aca="false">D21*E21*F21/G21</f>
        <v>0.0125</v>
      </c>
      <c r="I21" s="21" t="s">
        <v>123</v>
      </c>
    </row>
    <row r="24" customFormat="false" ht="16.15" hidden="false" customHeight="false" outlineLevel="0" collapsed="false">
      <c r="A24" s="10" t="s">
        <v>128</v>
      </c>
      <c r="B24" s="10"/>
      <c r="C24" s="10"/>
      <c r="D24" s="10"/>
      <c r="E24" s="10"/>
      <c r="F24" s="10"/>
      <c r="G24" s="10"/>
      <c r="H24" s="10"/>
      <c r="I24" s="10"/>
    </row>
    <row r="25" customFormat="false" ht="75" hidden="false" customHeight="true" outlineLevel="0" collapsed="false">
      <c r="A25" s="11" t="s">
        <v>129</v>
      </c>
      <c r="B25" s="11"/>
      <c r="C25" s="11"/>
      <c r="D25" s="11"/>
      <c r="E25" s="11"/>
      <c r="F25" s="11"/>
      <c r="G25" s="11"/>
      <c r="H25" s="11"/>
      <c r="I25" s="11"/>
    </row>
  </sheetData>
  <autoFilter ref="A4:I21"/>
  <mergeCells count="4">
    <mergeCell ref="A1:I1"/>
    <mergeCell ref="A2:I2"/>
    <mergeCell ref="A24:I24"/>
    <mergeCell ref="A25:I25"/>
  </mergeCells>
  <conditionalFormatting sqref="H5:H21">
    <cfRule type="colorScale" priority="2">
      <colorScale>
        <cfvo type="min" val="0"/>
        <cfvo type="percentile" val="50"/>
        <cfvo type="max" val="0"/>
        <color rgb="FFFCE4E4"/>
        <color rgb="FFFFF2CC"/>
        <color rgb="FFC6E0B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2026-08-09T10:20:08Z</dcterms:created>
  <dc:creator>openpyxl</dc:creator>
  <dc:description/>
  <dc:language>en-US</dc:language>
  <cp:lastModifiedBy/>
  <dcterms:modified xsi:type="dcterms:W3CDTF">2026-08-09T10:20:42Z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